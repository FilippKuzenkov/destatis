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fdkuz\Projects\DA\destatis\excel\"/>
    </mc:Choice>
  </mc:AlternateContent>
  <xr:revisionPtr revIDLastSave="0" documentId="13_ncr:1_{629ACD67-05BE-4FA2-891D-2B145DCA7D61}" xr6:coauthVersionLast="47" xr6:coauthVersionMax="47" xr10:uidLastSave="{00000000-0000-0000-0000-000000000000}"/>
  <bookViews>
    <workbookView xWindow="-108" yWindow="-108" windowWidth="23256" windowHeight="14616" activeTab="3" xr2:uid="{00000000-000D-0000-FFFF-FFFF00000000}"/>
  </bookViews>
  <sheets>
    <sheet name="Pivot - Monthly Trend" sheetId="1" r:id="rId1"/>
    <sheet name="Issues Log" sheetId="5" r:id="rId2"/>
    <sheet name="Insights Log" sheetId="6" r:id="rId3"/>
    <sheet name="Data" sheetId="4" r:id="rId4"/>
  </sheets>
  <definedNames>
    <definedName name="ExternalData_1" localSheetId="3" hidden="1">Data!$A$1:$F$96</definedName>
  </definedNames>
  <calcPr calcId="162913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610B46-A65A-4AB2-A692-67C9CFCB8D25}" keepAlive="1" name="Query - gold_turnover_vs_employment" description="Connection to the 'gold_turnover_vs_employment' query in the workbook." type="5" refreshedVersion="0" background="1">
    <dbPr connection="Provider=Microsoft.Mashup.OleDb.1;Data Source=$Workbook$;Location=gold_turnover_vs_employment;Extended Properties=&quot;&quot;" command="SELECT * FROM [gold_turnover_vs_employment]"/>
  </connection>
  <connection id="2" xr16:uid="{725D90AC-5ED5-4BB3-B533-A01418462FB4}" keepAlive="1" name="Query - gold_turnover_vs_employment (2)" description="Connection to the 'gold_turnover_vs_employment (2)' query in the workbook." type="5" refreshedVersion="8" background="1" saveData="1">
    <dbPr connection="Provider=Microsoft.Mashup.OleDb.1;Data Source=$Workbook$;Location=&quot;gold_turnover_vs_employment (2)&quot;;Extended Properties=&quot;&quot;" command="SELECT * FROM [gold_turnover_vs_employment (2)]"/>
  </connection>
</connections>
</file>

<file path=xl/sharedStrings.xml><?xml version="1.0" encoding="utf-8"?>
<sst xmlns="http://schemas.openxmlformats.org/spreadsheetml/2006/main" count="265" uniqueCount="75">
  <si>
    <t>wz08_code</t>
  </si>
  <si>
    <t>description</t>
  </si>
  <si>
    <t>period</t>
  </si>
  <si>
    <t>turnover_yoy_pct</t>
  </si>
  <si>
    <t>employment_yoy_pct</t>
  </si>
  <si>
    <t>growth_gap_pct</t>
  </si>
  <si>
    <t>WZ08-47</t>
  </si>
  <si>
    <t>Retail trade, except motor vehicles a. motorcycles</t>
  </si>
  <si>
    <t>WZ08-472</t>
  </si>
  <si>
    <t>Retail sale of food, beverages and tobacco</t>
  </si>
  <si>
    <t>WZ08-4741</t>
  </si>
  <si>
    <t>Retail sale of computers,peripheral units,software</t>
  </si>
  <si>
    <t>WZ08-4791</t>
  </si>
  <si>
    <t>Retail sale via mail order houses or via Internet</t>
  </si>
  <si>
    <t>WZ08-4799</t>
  </si>
  <si>
    <t>Other retail sale not in stores, stalls or markets</t>
  </si>
  <si>
    <t>Row Labels</t>
  </si>
  <si>
    <t>Grand Total</t>
  </si>
  <si>
    <t>2025</t>
  </si>
  <si>
    <t>2026</t>
  </si>
  <si>
    <t>Jan</t>
  </si>
  <si>
    <t>Feb</t>
  </si>
  <si>
    <t>Mar</t>
  </si>
  <si>
    <t>Apr</t>
  </si>
  <si>
    <t>May</t>
  </si>
  <si>
    <t>Jun</t>
  </si>
  <si>
    <t>Jul</t>
  </si>
  <si>
    <t>Aug</t>
  </si>
  <si>
    <t>Sept</t>
  </si>
  <si>
    <t>Oct</t>
  </si>
  <si>
    <t>Nov</t>
  </si>
  <si>
    <t>Dec</t>
  </si>
  <si>
    <t>Online retail (WZ08-4791)</t>
  </si>
  <si>
    <t>Average of growth_gap_pct</t>
  </si>
  <si>
    <t>Average of turnover_yoy_pct</t>
  </si>
  <si>
    <t>Average of employment_yoy_pct</t>
  </si>
  <si>
    <t>Issue</t>
  </si>
  <si>
    <t>Solvable?</t>
  </si>
  <si>
    <t>Magnitude</t>
  </si>
  <si>
    <t>Resolution</t>
  </si>
  <si>
    <t>Two parallel WZ08 classification schemes, no documented relationship</t>
  </si>
  <si>
    <t>Partially</t>
  </si>
  <si>
    <t>21 of 68 sector codes</t>
  </si>
  <si>
    <t>Kept flat in dim_sector, no fabricated parent_code</t>
  </si>
  <si>
    <t>Two distinct missing-value placeholders (-, x), not interchangeable</t>
  </si>
  <si>
    <t>Yes</t>
  </si>
  <si>
    <t>12 rows, one sector (WZ08-G-05)</t>
  </si>
  <si>
    <t>Explicit MISSING_VALUES = {"-", "x"} set, both mapped to null</t>
  </si>
  <si>
    <t>API's timeslices parameter silently ignored</t>
  </si>
  <si>
    <t>No (undocumented)</t>
  </si>
  <si>
    <t>Pull full history each time</t>
  </si>
  <si>
    <t>Table 45212-0014 has no WZ08 sector column</t>
  </si>
  <si>
    <t>Whole table unusable for its intended purpose</t>
  </si>
  <si>
    <t>Rejected, not pursued</t>
  </si>
  <si>
    <t>Every numeric value in the first Pivot build, off by ~10x</t>
  </si>
  <si>
    <t>No, not published at this granularity</t>
  </si>
  <si>
    <t>None, so harmless</t>
  </si>
  <si>
    <t>Export switched to semicolon-delimited, comma-decimal, which matches Destatis's own raw CSV convention</t>
  </si>
  <si>
    <t>CSV export misparsed by German-locale Excel: period-decimal (15.4) read as a thousands separator, dropped (154)</t>
  </si>
  <si>
    <t>Metric</t>
  </si>
  <si>
    <t>Dimension</t>
  </si>
  <si>
    <t>Finding</t>
  </si>
  <si>
    <t>Recommendation</t>
  </si>
  <si>
    <t>Turnover YoY% vs. employment YoY%</t>
  </si>
  <si>
    <t>WZ08-4791 vs. WZ08-472 control</t>
  </si>
  <si>
    <t>Real, control-checked case for 2025 budget shift toward online retail</t>
  </si>
  <si>
    <t>growth_gap_pct over time</t>
  </si>
  <si>
    <t>Turnover YoY%, broadened</t>
  </si>
  <si>
    <t>WZ08-47, WZ08-4799, WZ08-4741</t>
  </si>
  <si>
    <t>Aggregate decelerated modestly (macro real); 4799 collapsed (-29.4%), 4741 surged (+63.8%, verified against raw levels)</t>
  </si>
  <si>
    <t>Online retail's 2025 turnover growth (+1-21% YoY) sharply outpaced employment decline (-1.3 to -3.4%); food retail tracked closely</t>
  </si>
  <si>
    <t>WZ08-4791, Jan 2025-Jul 2026</t>
  </si>
  <si>
    <t>Gap held in double digits through Aug 2025, closed to single digits by Sep 2025 (not mid-2026 as first summarized), then fluctuated 2.6-10.6 through 2026; turnover YoY went negative Jul 2026</t>
  </si>
  <si>
    <t>Don't report the 2025 average as current momentum - the premium closed faster than a first pass suggested</t>
  </si>
  <si>
    <t>Both macro and category-specific effects real and layered - investigate 4741/4799 before trusting either as durable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</si>
</sst>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/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3"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p Kuzenkov" refreshedDate="46277.439114004628" createdVersion="8" refreshedVersion="8" minRefreshableVersion="3" recordCount="95" xr:uid="{FCC9FAB7-DAE1-4155-BAD9-BDC889304C89}">
  <cacheSource type="worksheet">
    <worksheetSource name="GoldData"/>
  </cacheSource>
  <cacheFields count="8">
    <cacheField name="wz08_code" numFmtId="0">
      <sharedItems count="5">
        <s v="WZ08-47"/>
        <s v="WZ08-472"/>
        <s v="WZ08-4741"/>
        <s v="WZ08-4791"/>
        <s v="WZ08-4799"/>
      </sharedItems>
    </cacheField>
    <cacheField name="description" numFmtId="0">
      <sharedItems/>
    </cacheField>
    <cacheField name="period" numFmtId="14">
      <sharedItems containsSemiMixedTypes="0" containsNonDate="0" containsDate="1" containsString="0" minDate="2025-01-01T00:00:00" maxDate="2026-07-02T00:00:00" count="19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  <d v="2026-01-01T00:00:00"/>
        <d v="2026-02-01T00:00:00"/>
        <d v="2026-03-01T00:00:00"/>
        <d v="2026-04-01T00:00:00"/>
        <d v="2026-05-01T00:00:00"/>
        <d v="2026-06-01T00:00:00"/>
        <d v="2026-07-01T00:00:00"/>
      </sharedItems>
      <fieldGroup par="7"/>
    </cacheField>
    <cacheField name="turnover_yoy_pct" numFmtId="0">
      <sharedItems containsSemiMixedTypes="0" containsString="0" containsNumber="1" minValue="-29.4" maxValue="63.8"/>
    </cacheField>
    <cacheField name="employment_yoy_pct" numFmtId="0">
      <sharedItems containsSemiMixedTypes="0" containsString="0" containsNumber="1" minValue="-5.9" maxValue="2.7"/>
    </cacheField>
    <cacheField name="growth_gap_pct" numFmtId="0">
      <sharedItems containsSemiMixedTypes="0" containsString="0" containsNumber="1" minValue="-25.3" maxValue="63.6"/>
    </cacheField>
    <cacheField name="Months (period)" numFmtId="0" databaseField="0">
      <fieldGroup base="2">
        <rangePr groupBy="months" startDate="2025-01-01T00:00:00" endDate="2026-07-02T00:00:00"/>
        <groupItems count="14">
          <s v="&lt;01/01/2025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02/07/2026"/>
        </groupItems>
      </fieldGroup>
    </cacheField>
    <cacheField name="Years (period)" numFmtId="0" databaseField="0">
      <fieldGroup base="2">
        <rangePr groupBy="years" startDate="2025-01-01T00:00:00" endDate="2026-07-02T00:00:00"/>
        <groupItems count="4">
          <s v="&lt;01/01/2025"/>
          <s v="2025"/>
          <s v="2026"/>
          <s v="&gt;02/07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s v="Retail trade, except motor vehicles a. motorcycles"/>
    <x v="0"/>
    <n v="4.5999999999999996"/>
    <n v="-0.4"/>
    <n v="5"/>
  </r>
  <r>
    <x v="0"/>
    <s v="Retail trade, except motor vehicles a. motorcycles"/>
    <x v="1"/>
    <n v="4.5999999999999996"/>
    <n v="-0.2"/>
    <n v="4.8"/>
  </r>
  <r>
    <x v="0"/>
    <s v="Retail trade, except motor vehicles a. motorcycles"/>
    <x v="2"/>
    <n v="3.7"/>
    <n v="-0.1"/>
    <n v="3.8"/>
  </r>
  <r>
    <x v="0"/>
    <s v="Retail trade, except motor vehicles a. motorcycles"/>
    <x v="3"/>
    <n v="4.5"/>
    <n v="0"/>
    <n v="4.5"/>
  </r>
  <r>
    <x v="0"/>
    <s v="Retail trade, except motor vehicles a. motorcycles"/>
    <x v="4"/>
    <n v="3.1"/>
    <n v="0.1"/>
    <n v="3"/>
  </r>
  <r>
    <x v="0"/>
    <s v="Retail trade, except motor vehicles a. motorcycles"/>
    <x v="5"/>
    <n v="5.5"/>
    <n v="-0.2"/>
    <n v="5.7"/>
  </r>
  <r>
    <x v="0"/>
    <s v="Retail trade, except motor vehicles a. motorcycles"/>
    <x v="6"/>
    <n v="4"/>
    <n v="-0.2"/>
    <n v="4.2"/>
  </r>
  <r>
    <x v="0"/>
    <s v="Retail trade, except motor vehicles a. motorcycles"/>
    <x v="7"/>
    <n v="1.8"/>
    <n v="0"/>
    <n v="1.8"/>
  </r>
  <r>
    <x v="0"/>
    <s v="Retail trade, except motor vehicles a. motorcycles"/>
    <x v="8"/>
    <n v="0.6"/>
    <n v="-0.1"/>
    <n v="0.7"/>
  </r>
  <r>
    <x v="0"/>
    <s v="Retail trade, except motor vehicles a. motorcycles"/>
    <x v="9"/>
    <n v="2"/>
    <n v="-0.3"/>
    <n v="2.2999999999999998"/>
  </r>
  <r>
    <x v="0"/>
    <s v="Retail trade, except motor vehicles a. motorcycles"/>
    <x v="10"/>
    <n v="1.3"/>
    <n v="-0.5"/>
    <n v="1.8"/>
  </r>
  <r>
    <x v="0"/>
    <s v="Retail trade, except motor vehicles a. motorcycles"/>
    <x v="11"/>
    <n v="3.2"/>
    <n v="-0.5"/>
    <n v="3.7"/>
  </r>
  <r>
    <x v="0"/>
    <s v="Retail trade, except motor vehicles a. motorcycles"/>
    <x v="12"/>
    <n v="1.4"/>
    <n v="-1.1000000000000001"/>
    <n v="2.5"/>
  </r>
  <r>
    <x v="0"/>
    <s v="Retail trade, except motor vehicles a. motorcycles"/>
    <x v="13"/>
    <n v="1.1000000000000001"/>
    <n v="-1.3"/>
    <n v="2.4"/>
  </r>
  <r>
    <x v="0"/>
    <s v="Retail trade, except motor vehicles a. motorcycles"/>
    <x v="14"/>
    <n v="0.8"/>
    <n v="-1.6"/>
    <n v="2.4"/>
  </r>
  <r>
    <x v="0"/>
    <s v="Retail trade, except motor vehicles a. motorcycles"/>
    <x v="15"/>
    <n v="-0.4"/>
    <n v="-1.8"/>
    <n v="1.4"/>
  </r>
  <r>
    <x v="0"/>
    <s v="Retail trade, except motor vehicles a. motorcycles"/>
    <x v="16"/>
    <n v="2.1"/>
    <n v="-1.8"/>
    <n v="3.9"/>
  </r>
  <r>
    <x v="0"/>
    <s v="Retail trade, except motor vehicles a. motorcycles"/>
    <x v="17"/>
    <n v="0.7"/>
    <n v="-1.8"/>
    <n v="2.5"/>
  </r>
  <r>
    <x v="0"/>
    <s v="Retail trade, except motor vehicles a. motorcycles"/>
    <x v="18"/>
    <n v="-2.4"/>
    <n v="-1.8"/>
    <n v="-0.6"/>
  </r>
  <r>
    <x v="1"/>
    <s v="Retail sale of food, beverages and tobacco"/>
    <x v="0"/>
    <n v="1.8"/>
    <n v="2.7"/>
    <n v="-0.9"/>
  </r>
  <r>
    <x v="1"/>
    <s v="Retail sale of food, beverages and tobacco"/>
    <x v="1"/>
    <n v="1"/>
    <n v="2.2000000000000002"/>
    <n v="-1.2"/>
  </r>
  <r>
    <x v="1"/>
    <s v="Retail sale of food, beverages and tobacco"/>
    <x v="2"/>
    <n v="2"/>
    <n v="1.8"/>
    <n v="0.2"/>
  </r>
  <r>
    <x v="1"/>
    <s v="Retail sale of food, beverages and tobacco"/>
    <x v="3"/>
    <n v="1.7"/>
    <n v="2.2000000000000002"/>
    <n v="-0.5"/>
  </r>
  <r>
    <x v="1"/>
    <s v="Retail sale of food, beverages and tobacco"/>
    <x v="4"/>
    <n v="0.7"/>
    <n v="1.5"/>
    <n v="-0.8"/>
  </r>
  <r>
    <x v="1"/>
    <s v="Retail sale of food, beverages and tobacco"/>
    <x v="5"/>
    <n v="1.2"/>
    <n v="0.8"/>
    <n v="0.4"/>
  </r>
  <r>
    <x v="1"/>
    <s v="Retail sale of food, beverages and tobacco"/>
    <x v="6"/>
    <n v="0.1"/>
    <n v="0.6"/>
    <n v="-0.5"/>
  </r>
  <r>
    <x v="1"/>
    <s v="Retail sale of food, beverages and tobacco"/>
    <x v="7"/>
    <n v="-2.2000000000000002"/>
    <n v="0.3"/>
    <n v="-2.5"/>
  </r>
  <r>
    <x v="1"/>
    <s v="Retail sale of food, beverages and tobacco"/>
    <x v="8"/>
    <n v="-2.5"/>
    <n v="0.5"/>
    <n v="-3"/>
  </r>
  <r>
    <x v="1"/>
    <s v="Retail sale of food, beverages and tobacco"/>
    <x v="9"/>
    <n v="-0.3"/>
    <n v="0.1"/>
    <n v="-0.4"/>
  </r>
  <r>
    <x v="1"/>
    <s v="Retail sale of food, beverages and tobacco"/>
    <x v="10"/>
    <n v="-0.4"/>
    <n v="-0.3"/>
    <n v="-0.1"/>
  </r>
  <r>
    <x v="1"/>
    <s v="Retail sale of food, beverages and tobacco"/>
    <x v="11"/>
    <n v="0.7"/>
    <n v="-0.1"/>
    <n v="0.8"/>
  </r>
  <r>
    <x v="1"/>
    <s v="Retail sale of food, beverages and tobacco"/>
    <x v="12"/>
    <n v="-0.5"/>
    <n v="-1.3"/>
    <n v="0.8"/>
  </r>
  <r>
    <x v="1"/>
    <s v="Retail sale of food, beverages and tobacco"/>
    <x v="13"/>
    <n v="-1"/>
    <n v="-1.1000000000000001"/>
    <n v="0.1"/>
  </r>
  <r>
    <x v="1"/>
    <s v="Retail sale of food, beverages and tobacco"/>
    <x v="14"/>
    <n v="-2.1"/>
    <n v="-1.7"/>
    <n v="-0.4"/>
  </r>
  <r>
    <x v="1"/>
    <s v="Retail sale of food, beverages and tobacco"/>
    <x v="15"/>
    <n v="-0.1"/>
    <n v="-1.5"/>
    <n v="1.4"/>
  </r>
  <r>
    <x v="1"/>
    <s v="Retail sale of food, beverages and tobacco"/>
    <x v="16"/>
    <n v="1.2"/>
    <n v="-1.5"/>
    <n v="2.7"/>
  </r>
  <r>
    <x v="1"/>
    <s v="Retail sale of food, beverages and tobacco"/>
    <x v="17"/>
    <n v="-0.7"/>
    <n v="-1.8"/>
    <n v="1.1000000000000001"/>
  </r>
  <r>
    <x v="1"/>
    <s v="Retail sale of food, beverages and tobacco"/>
    <x v="18"/>
    <n v="0.2"/>
    <n v="-2.4"/>
    <n v="2.6"/>
  </r>
  <r>
    <x v="2"/>
    <s v="Retail sale of computers,peripheral units,software"/>
    <x v="0"/>
    <n v="8.5"/>
    <n v="-1.2"/>
    <n v="9.6999999999999993"/>
  </r>
  <r>
    <x v="2"/>
    <s v="Retail sale of computers,peripheral units,software"/>
    <x v="1"/>
    <n v="13.6"/>
    <n v="-1.8"/>
    <n v="15.4"/>
  </r>
  <r>
    <x v="2"/>
    <s v="Retail sale of computers,peripheral units,software"/>
    <x v="2"/>
    <n v="7.8"/>
    <n v="-0.6"/>
    <n v="8.4"/>
  </r>
  <r>
    <x v="2"/>
    <s v="Retail sale of computers,peripheral units,software"/>
    <x v="3"/>
    <n v="6.9"/>
    <n v="-1.5"/>
    <n v="8.4"/>
  </r>
  <r>
    <x v="2"/>
    <s v="Retail sale of computers,peripheral units,software"/>
    <x v="4"/>
    <n v="-0.4"/>
    <n v="-1.7"/>
    <n v="1.3"/>
  </r>
  <r>
    <x v="2"/>
    <s v="Retail sale of computers,peripheral units,software"/>
    <x v="5"/>
    <n v="-0.3"/>
    <n v="0"/>
    <n v="-0.3"/>
  </r>
  <r>
    <x v="2"/>
    <s v="Retail sale of computers,peripheral units,software"/>
    <x v="6"/>
    <n v="8.6"/>
    <n v="-0.6"/>
    <n v="9.1999999999999993"/>
  </r>
  <r>
    <x v="2"/>
    <s v="Retail sale of computers,peripheral units,software"/>
    <x v="7"/>
    <n v="6.9"/>
    <n v="0"/>
    <n v="6.9"/>
  </r>
  <r>
    <x v="2"/>
    <s v="Retail sale of computers,peripheral units,software"/>
    <x v="8"/>
    <n v="7.5"/>
    <n v="-0.3"/>
    <n v="7.8"/>
  </r>
  <r>
    <x v="2"/>
    <s v="Retail sale of computers,peripheral units,software"/>
    <x v="9"/>
    <n v="16.5"/>
    <n v="1.5"/>
    <n v="15"/>
  </r>
  <r>
    <x v="2"/>
    <s v="Retail sale of computers,peripheral units,software"/>
    <x v="10"/>
    <n v="14.1"/>
    <n v="2"/>
    <n v="12.1"/>
  </r>
  <r>
    <x v="2"/>
    <s v="Retail sale of computers,peripheral units,software"/>
    <x v="11"/>
    <n v="20.5"/>
    <n v="2.1"/>
    <n v="18.399999999999999"/>
  </r>
  <r>
    <x v="2"/>
    <s v="Retail sale of computers,peripheral units,software"/>
    <x v="12"/>
    <n v="11.3"/>
    <n v="0.9"/>
    <n v="10.4"/>
  </r>
  <r>
    <x v="2"/>
    <s v="Retail sale of computers,peripheral units,software"/>
    <x v="13"/>
    <n v="11.3"/>
    <n v="1.3"/>
    <n v="10"/>
  </r>
  <r>
    <x v="2"/>
    <s v="Retail sale of computers,peripheral units,software"/>
    <x v="14"/>
    <n v="19.2"/>
    <n v="0.4"/>
    <n v="18.8"/>
  </r>
  <r>
    <x v="2"/>
    <s v="Retail sale of computers,peripheral units,software"/>
    <x v="15"/>
    <n v="63.8"/>
    <n v="0.2"/>
    <n v="63.6"/>
  </r>
  <r>
    <x v="2"/>
    <s v="Retail sale of computers,peripheral units,software"/>
    <x v="16"/>
    <n v="30.5"/>
    <n v="-0.1"/>
    <n v="30.6"/>
  </r>
  <r>
    <x v="2"/>
    <s v="Retail sale of computers,peripheral units,software"/>
    <x v="17"/>
    <n v="12.4"/>
    <n v="-0.1"/>
    <n v="12.5"/>
  </r>
  <r>
    <x v="2"/>
    <s v="Retail sale of computers,peripheral units,software"/>
    <x v="18"/>
    <n v="2.7"/>
    <n v="-0.7"/>
    <n v="3.4"/>
  </r>
  <r>
    <x v="3"/>
    <s v="Retail sale via mail order houses or via Internet"/>
    <x v="0"/>
    <n v="14"/>
    <n v="-1.4"/>
    <n v="15.4"/>
  </r>
  <r>
    <x v="3"/>
    <s v="Retail sale via mail order houses or via Internet"/>
    <x v="1"/>
    <n v="17"/>
    <n v="-1.3"/>
    <n v="18.3"/>
  </r>
  <r>
    <x v="3"/>
    <s v="Retail sale via mail order houses or via Internet"/>
    <x v="2"/>
    <n v="12.1"/>
    <n v="-1.6"/>
    <n v="13.7"/>
  </r>
  <r>
    <x v="3"/>
    <s v="Retail sale via mail order houses or via Internet"/>
    <x v="3"/>
    <n v="17.600000000000001"/>
    <n v="-1.6"/>
    <n v="19.2"/>
  </r>
  <r>
    <x v="3"/>
    <s v="Retail sale via mail order houses or via Internet"/>
    <x v="4"/>
    <n v="11.7"/>
    <n v="-1.7"/>
    <n v="13.4"/>
  </r>
  <r>
    <x v="3"/>
    <s v="Retail sale via mail order houses or via Internet"/>
    <x v="5"/>
    <n v="21.3"/>
    <n v="-2.1"/>
    <n v="23.4"/>
  </r>
  <r>
    <x v="3"/>
    <s v="Retail sale via mail order houses or via Internet"/>
    <x v="6"/>
    <n v="16.399999999999999"/>
    <n v="-2.2999999999999998"/>
    <n v="18.7"/>
  </r>
  <r>
    <x v="3"/>
    <s v="Retail sale via mail order houses or via Internet"/>
    <x v="7"/>
    <n v="8.5"/>
    <n v="-1.9"/>
    <n v="10.4"/>
  </r>
  <r>
    <x v="3"/>
    <s v="Retail sale via mail order houses or via Internet"/>
    <x v="8"/>
    <n v="2.4"/>
    <n v="-2.6"/>
    <n v="5"/>
  </r>
  <r>
    <x v="3"/>
    <s v="Retail sale via mail order houses or via Internet"/>
    <x v="9"/>
    <n v="3.8"/>
    <n v="-3"/>
    <n v="6.8"/>
  </r>
  <r>
    <x v="3"/>
    <s v="Retail sale via mail order houses or via Internet"/>
    <x v="10"/>
    <n v="5.8"/>
    <n v="-3"/>
    <n v="8.8000000000000007"/>
  </r>
  <r>
    <x v="3"/>
    <s v="Retail sale via mail order houses or via Internet"/>
    <x v="11"/>
    <n v="1"/>
    <n v="-2.7"/>
    <n v="3.7"/>
  </r>
  <r>
    <x v="3"/>
    <s v="Retail sale via mail order houses or via Internet"/>
    <x v="12"/>
    <n v="4.3"/>
    <n v="-2.2000000000000002"/>
    <n v="6.5"/>
  </r>
  <r>
    <x v="3"/>
    <s v="Retail sale via mail order houses or via Internet"/>
    <x v="13"/>
    <n v="4.5"/>
    <n v="-2.2999999999999998"/>
    <n v="6.8"/>
  </r>
  <r>
    <x v="3"/>
    <s v="Retail sale via mail order houses or via Internet"/>
    <x v="14"/>
    <n v="7.3"/>
    <n v="-2.2000000000000002"/>
    <n v="9.5"/>
  </r>
  <r>
    <x v="3"/>
    <s v="Retail sale via mail order houses or via Internet"/>
    <x v="15"/>
    <n v="1.1000000000000001"/>
    <n v="-2.7"/>
    <n v="3.8"/>
  </r>
  <r>
    <x v="3"/>
    <s v="Retail sale via mail order houses or via Internet"/>
    <x v="16"/>
    <n v="7.7"/>
    <n v="-2.9"/>
    <n v="10.6"/>
  </r>
  <r>
    <x v="3"/>
    <s v="Retail sale via mail order houses or via Internet"/>
    <x v="17"/>
    <n v="6"/>
    <n v="-3.4"/>
    <n v="9.4"/>
  </r>
  <r>
    <x v="3"/>
    <s v="Retail sale via mail order houses or via Internet"/>
    <x v="18"/>
    <n v="-0.8"/>
    <n v="-3.4"/>
    <n v="2.6"/>
  </r>
  <r>
    <x v="4"/>
    <s v="Other retail sale not in stores, stalls or markets"/>
    <x v="0"/>
    <n v="-2.9"/>
    <n v="-0.6"/>
    <n v="-2.2999999999999998"/>
  </r>
  <r>
    <x v="4"/>
    <s v="Other retail sale not in stores, stalls or markets"/>
    <x v="1"/>
    <n v="11.5"/>
    <n v="-2.9"/>
    <n v="14.4"/>
  </r>
  <r>
    <x v="4"/>
    <s v="Other retail sale not in stores, stalls or markets"/>
    <x v="2"/>
    <n v="7.1"/>
    <n v="-3.2"/>
    <n v="10.3"/>
  </r>
  <r>
    <x v="4"/>
    <s v="Other retail sale not in stores, stalls or markets"/>
    <x v="3"/>
    <n v="12.9"/>
    <n v="-3.8"/>
    <n v="16.7"/>
  </r>
  <r>
    <x v="4"/>
    <s v="Other retail sale not in stores, stalls or markets"/>
    <x v="4"/>
    <n v="6.4"/>
    <n v="-3.2"/>
    <n v="9.6"/>
  </r>
  <r>
    <x v="4"/>
    <s v="Other retail sale not in stores, stalls or markets"/>
    <x v="5"/>
    <n v="6.6"/>
    <n v="-2.2999999999999998"/>
    <n v="8.9"/>
  </r>
  <r>
    <x v="4"/>
    <s v="Other retail sale not in stores, stalls or markets"/>
    <x v="6"/>
    <n v="0.4"/>
    <n v="-3.2"/>
    <n v="3.6"/>
  </r>
  <r>
    <x v="4"/>
    <s v="Other retail sale not in stores, stalls or markets"/>
    <x v="7"/>
    <n v="-7.2"/>
    <n v="-4.9000000000000004"/>
    <n v="-2.2999999999999998"/>
  </r>
  <r>
    <x v="4"/>
    <s v="Other retail sale not in stores, stalls or markets"/>
    <x v="8"/>
    <n v="-11.8"/>
    <n v="-4.8"/>
    <n v="-7"/>
  </r>
  <r>
    <x v="4"/>
    <s v="Other retail sale not in stores, stalls or markets"/>
    <x v="9"/>
    <n v="-2.1"/>
    <n v="-5.6"/>
    <n v="3.5"/>
  </r>
  <r>
    <x v="4"/>
    <s v="Other retail sale not in stores, stalls or markets"/>
    <x v="10"/>
    <n v="-3.7"/>
    <n v="-5.9"/>
    <n v="2.2000000000000002"/>
  </r>
  <r>
    <x v="4"/>
    <s v="Other retail sale not in stores, stalls or markets"/>
    <x v="11"/>
    <n v="3.3"/>
    <n v="-4.9000000000000004"/>
    <n v="8.1999999999999993"/>
  </r>
  <r>
    <x v="4"/>
    <s v="Other retail sale not in stores, stalls or markets"/>
    <x v="12"/>
    <n v="5.8"/>
    <n v="-4.5999999999999996"/>
    <n v="10.4"/>
  </r>
  <r>
    <x v="4"/>
    <s v="Other retail sale not in stores, stalls or markets"/>
    <x v="13"/>
    <n v="-3.5"/>
    <n v="-4.0999999999999996"/>
    <n v="0.6"/>
  </r>
  <r>
    <x v="4"/>
    <s v="Other retail sale not in stores, stalls or markets"/>
    <x v="14"/>
    <n v="-15.4"/>
    <n v="-3.2"/>
    <n v="-12.2"/>
  </r>
  <r>
    <x v="4"/>
    <s v="Other retail sale not in stores, stalls or markets"/>
    <x v="15"/>
    <n v="-29.4"/>
    <n v="-4.0999999999999996"/>
    <n v="-25.3"/>
  </r>
  <r>
    <x v="4"/>
    <s v="Other retail sale not in stores, stalls or markets"/>
    <x v="16"/>
    <n v="-22.2"/>
    <n v="-3.9"/>
    <n v="-18.3"/>
  </r>
  <r>
    <x v="4"/>
    <s v="Other retail sale not in stores, stalls or markets"/>
    <x v="17"/>
    <n v="-19.100000000000001"/>
    <n v="-4.5"/>
    <n v="-14.6"/>
  </r>
  <r>
    <x v="4"/>
    <s v="Other retail sale not in stores, stalls or markets"/>
    <x v="18"/>
    <n v="-14.9"/>
    <n v="-4.0999999999999996"/>
    <n v="-10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7B1FF2-271E-4C72-904E-49C650A4F83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5" firstHeaderRow="0" firstDataRow="1" firstDataCol="1" rowPageCount="1" colPageCount="1"/>
  <pivotFields count="8">
    <pivotField axis="axisPage" showAll="0">
      <items count="6">
        <item x="0"/>
        <item x="1"/>
        <item x="2"/>
        <item x="3"/>
        <item x="4"/>
        <item t="default"/>
      </items>
    </pivotField>
    <pivotField showAll="0"/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showAll="0"/>
    <pivotField dataField="1" showAll="0"/>
    <pivotField dataField="1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7"/>
    <field x="6"/>
  </rowFields>
  <rowItems count="22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0" item="3" hier="-1"/>
  </pageFields>
  <dataFields count="3">
    <dataField name="Average of growth_gap_pct" fld="5" subtotal="average" baseField="6" baseItem="5"/>
    <dataField name="Average of turnover_yoy_pct" fld="3" subtotal="average" baseField="6" baseItem="5"/>
    <dataField name="Average of employment_yoy_pct" fld="4" subtotal="average" baseField="6" baseItem="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ED98A9A-796F-4BDE-854F-D08BC0AC70AC}" autoFormatId="16" applyNumberFormats="0" applyBorderFormats="0" applyFontFormats="0" applyPatternFormats="0" applyAlignmentFormats="0" applyWidthHeightFormats="0">
  <queryTableRefresh nextId="7">
    <queryTableFields count="6">
      <queryTableField id="1" name="wz08_code" tableColumnId="1"/>
      <queryTableField id="2" name="description" tableColumnId="2"/>
      <queryTableField id="3" name="period" tableColumnId="3"/>
      <queryTableField id="4" name="turnover_yoy_pct" tableColumnId="4"/>
      <queryTableField id="5" name="employment_yoy_pct" tableColumnId="5"/>
      <queryTableField id="6" name="growth_gap_pct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F71968-4619-4FDD-BDD3-608A9130526C}" name="GoldData" displayName="GoldData" ref="A1:F96" tableType="queryTable" totalsRowShown="0">
  <autoFilter ref="A1:F96" xr:uid="{C9F71968-4619-4FDD-BDD3-608A9130526C}"/>
  <tableColumns count="6">
    <tableColumn id="1" xr3:uid="{77E83602-8755-4A18-AFDA-3B4428CCF64C}" uniqueName="1" name="wz08_code" queryTableFieldId="1" dataDxfId="2"/>
    <tableColumn id="2" xr3:uid="{116D8C4D-BB44-4457-8282-93944C4D0AE5}" uniqueName="2" name="description" queryTableFieldId="2" dataDxfId="1"/>
    <tableColumn id="3" xr3:uid="{31A695D6-48D0-4840-8670-75FB36EA8561}" uniqueName="3" name="period" queryTableFieldId="3" dataDxfId="0"/>
    <tableColumn id="4" xr3:uid="{684C629A-CD27-40DC-8C01-513713499B7C}" uniqueName="4" name="turnover_yoy_pct" queryTableFieldId="4"/>
    <tableColumn id="5" xr3:uid="{B07138D0-2BB2-4C21-A228-25984A7F07D6}" uniqueName="5" name="employment_yoy_pct" queryTableFieldId="5"/>
    <tableColumn id="6" xr3:uid="{ADE58557-8138-47BA-8F51-3809EF6842DF}" uniqueName="6" name="growth_gap_pct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C2" sqref="C2"/>
    </sheetView>
  </sheetViews>
  <sheetFormatPr defaultRowHeight="14.4" x14ac:dyDescent="0.3"/>
  <cols>
    <col min="1" max="1" width="12.5546875" bestFit="1" customWidth="1"/>
    <col min="2" max="2" width="24.6640625" bestFit="1" customWidth="1"/>
    <col min="3" max="3" width="26.109375" bestFit="1" customWidth="1"/>
    <col min="4" max="4" width="29.6640625" bestFit="1" customWidth="1"/>
  </cols>
  <sheetData>
    <row r="1" spans="1:4" x14ac:dyDescent="0.3">
      <c r="A1" s="2" t="s">
        <v>0</v>
      </c>
      <c r="B1" t="s">
        <v>12</v>
      </c>
      <c r="C1" s="5" t="s">
        <v>32</v>
      </c>
    </row>
    <row r="3" spans="1:4" x14ac:dyDescent="0.3">
      <c r="A3" s="2" t="s">
        <v>16</v>
      </c>
      <c r="B3" t="s">
        <v>33</v>
      </c>
      <c r="C3" t="s">
        <v>34</v>
      </c>
      <c r="D3" t="s">
        <v>35</v>
      </c>
    </row>
    <row r="4" spans="1:4" x14ac:dyDescent="0.3">
      <c r="A4" s="3" t="s">
        <v>18</v>
      </c>
      <c r="B4">
        <v>13.066666666666668</v>
      </c>
      <c r="C4">
        <v>10.966666666666667</v>
      </c>
      <c r="D4">
        <v>-2.1</v>
      </c>
    </row>
    <row r="5" spans="1:4" x14ac:dyDescent="0.3">
      <c r="A5" s="4" t="s">
        <v>20</v>
      </c>
      <c r="B5">
        <v>15.4</v>
      </c>
      <c r="C5">
        <v>14</v>
      </c>
      <c r="D5">
        <v>-1.4</v>
      </c>
    </row>
    <row r="6" spans="1:4" x14ac:dyDescent="0.3">
      <c r="A6" s="4" t="s">
        <v>21</v>
      </c>
      <c r="B6">
        <v>18.3</v>
      </c>
      <c r="C6">
        <v>17</v>
      </c>
      <c r="D6">
        <v>-1.3</v>
      </c>
    </row>
    <row r="7" spans="1:4" x14ac:dyDescent="0.3">
      <c r="A7" s="4" t="s">
        <v>22</v>
      </c>
      <c r="B7">
        <v>13.7</v>
      </c>
      <c r="C7">
        <v>12.1</v>
      </c>
      <c r="D7">
        <v>-1.6</v>
      </c>
    </row>
    <row r="8" spans="1:4" x14ac:dyDescent="0.3">
      <c r="A8" s="4" t="s">
        <v>23</v>
      </c>
      <c r="B8">
        <v>19.2</v>
      </c>
      <c r="C8">
        <v>17.600000000000001</v>
      </c>
      <c r="D8">
        <v>-1.6</v>
      </c>
    </row>
    <row r="9" spans="1:4" x14ac:dyDescent="0.3">
      <c r="A9" s="4" t="s">
        <v>24</v>
      </c>
      <c r="B9">
        <v>13.4</v>
      </c>
      <c r="C9">
        <v>11.7</v>
      </c>
      <c r="D9">
        <v>-1.7</v>
      </c>
    </row>
    <row r="10" spans="1:4" x14ac:dyDescent="0.3">
      <c r="A10" s="4" t="s">
        <v>25</v>
      </c>
      <c r="B10">
        <v>23.4</v>
      </c>
      <c r="C10">
        <v>21.3</v>
      </c>
      <c r="D10">
        <v>-2.1</v>
      </c>
    </row>
    <row r="11" spans="1:4" x14ac:dyDescent="0.3">
      <c r="A11" s="4" t="s">
        <v>26</v>
      </c>
      <c r="B11">
        <v>18.7</v>
      </c>
      <c r="C11">
        <v>16.399999999999999</v>
      </c>
      <c r="D11">
        <v>-2.2999999999999998</v>
      </c>
    </row>
    <row r="12" spans="1:4" x14ac:dyDescent="0.3">
      <c r="A12" s="4" t="s">
        <v>27</v>
      </c>
      <c r="B12">
        <v>10.4</v>
      </c>
      <c r="C12">
        <v>8.5</v>
      </c>
      <c r="D12">
        <v>-1.9</v>
      </c>
    </row>
    <row r="13" spans="1:4" x14ac:dyDescent="0.3">
      <c r="A13" s="4" t="s">
        <v>28</v>
      </c>
      <c r="B13">
        <v>5</v>
      </c>
      <c r="C13">
        <v>2.4</v>
      </c>
      <c r="D13">
        <v>-2.6</v>
      </c>
    </row>
    <row r="14" spans="1:4" x14ac:dyDescent="0.3">
      <c r="A14" s="4" t="s">
        <v>29</v>
      </c>
      <c r="B14">
        <v>6.8</v>
      </c>
      <c r="C14">
        <v>3.8</v>
      </c>
      <c r="D14">
        <v>-3</v>
      </c>
    </row>
    <row r="15" spans="1:4" x14ac:dyDescent="0.3">
      <c r="A15" s="4" t="s">
        <v>30</v>
      </c>
      <c r="B15">
        <v>8.8000000000000007</v>
      </c>
      <c r="C15">
        <v>5.8</v>
      </c>
      <c r="D15">
        <v>-3</v>
      </c>
    </row>
    <row r="16" spans="1:4" x14ac:dyDescent="0.3">
      <c r="A16" s="4" t="s">
        <v>31</v>
      </c>
      <c r="B16">
        <v>3.7</v>
      </c>
      <c r="C16">
        <v>1</v>
      </c>
      <c r="D16">
        <v>-2.7</v>
      </c>
    </row>
    <row r="17" spans="1:4" x14ac:dyDescent="0.3">
      <c r="A17" s="3" t="s">
        <v>19</v>
      </c>
      <c r="B17">
        <v>7.0285714285714294</v>
      </c>
      <c r="C17">
        <v>4.3</v>
      </c>
      <c r="D17">
        <v>-2.7285714285714286</v>
      </c>
    </row>
    <row r="18" spans="1:4" x14ac:dyDescent="0.3">
      <c r="A18" s="4" t="s">
        <v>20</v>
      </c>
      <c r="B18">
        <v>6.5</v>
      </c>
      <c r="C18">
        <v>4.3</v>
      </c>
      <c r="D18">
        <v>-2.2000000000000002</v>
      </c>
    </row>
    <row r="19" spans="1:4" x14ac:dyDescent="0.3">
      <c r="A19" s="4" t="s">
        <v>21</v>
      </c>
      <c r="B19">
        <v>6.8</v>
      </c>
      <c r="C19">
        <v>4.5</v>
      </c>
      <c r="D19">
        <v>-2.2999999999999998</v>
      </c>
    </row>
    <row r="20" spans="1:4" x14ac:dyDescent="0.3">
      <c r="A20" s="4" t="s">
        <v>22</v>
      </c>
      <c r="B20">
        <v>9.5</v>
      </c>
      <c r="C20">
        <v>7.3</v>
      </c>
      <c r="D20">
        <v>-2.2000000000000002</v>
      </c>
    </row>
    <row r="21" spans="1:4" x14ac:dyDescent="0.3">
      <c r="A21" s="4" t="s">
        <v>23</v>
      </c>
      <c r="B21">
        <v>3.8</v>
      </c>
      <c r="C21">
        <v>1.1000000000000001</v>
      </c>
      <c r="D21">
        <v>-2.7</v>
      </c>
    </row>
    <row r="22" spans="1:4" x14ac:dyDescent="0.3">
      <c r="A22" s="4" t="s">
        <v>24</v>
      </c>
      <c r="B22">
        <v>10.6</v>
      </c>
      <c r="C22">
        <v>7.7</v>
      </c>
      <c r="D22">
        <v>-2.9</v>
      </c>
    </row>
    <row r="23" spans="1:4" x14ac:dyDescent="0.3">
      <c r="A23" s="4" t="s">
        <v>25</v>
      </c>
      <c r="B23">
        <v>9.4</v>
      </c>
      <c r="C23">
        <v>6</v>
      </c>
      <c r="D23">
        <v>-3.4</v>
      </c>
    </row>
    <row r="24" spans="1:4" x14ac:dyDescent="0.3">
      <c r="A24" s="4" t="s">
        <v>26</v>
      </c>
      <c r="B24">
        <v>2.6</v>
      </c>
      <c r="C24">
        <v>-0.8</v>
      </c>
      <c r="D24">
        <v>-3.4</v>
      </c>
    </row>
    <row r="25" spans="1:4" x14ac:dyDescent="0.3">
      <c r="A25" s="3" t="s">
        <v>17</v>
      </c>
      <c r="B25">
        <v>10.842105263157896</v>
      </c>
      <c r="C25">
        <v>8.5105263157894733</v>
      </c>
      <c r="D25">
        <v>-2.331578947368421</v>
      </c>
    </row>
  </sheetData>
  <conditionalFormatting sqref="B3:B25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A3E8A-2F54-4CEE-8B1A-516F44E7407E}">
  <dimension ref="A1:D6"/>
  <sheetViews>
    <sheetView workbookViewId="0">
      <selection activeCell="A7" sqref="A7"/>
    </sheetView>
  </sheetViews>
  <sheetFormatPr defaultRowHeight="14.4" x14ac:dyDescent="0.3"/>
  <cols>
    <col min="1" max="1" width="97.44140625" bestFit="1" customWidth="1"/>
    <col min="2" max="2" width="32.109375" bestFit="1" customWidth="1"/>
    <col min="3" max="3" width="45.6640625" bestFit="1" customWidth="1"/>
    <col min="4" max="4" width="87.77734375" bestFit="1" customWidth="1"/>
  </cols>
  <sheetData>
    <row r="1" spans="1:4" x14ac:dyDescent="0.3">
      <c r="A1" s="7" t="s">
        <v>36</v>
      </c>
      <c r="B1" s="7" t="s">
        <v>37</v>
      </c>
      <c r="C1" s="7" t="s">
        <v>38</v>
      </c>
      <c r="D1" s="7" t="s">
        <v>39</v>
      </c>
    </row>
    <row r="2" spans="1:4" x14ac:dyDescent="0.3">
      <c r="A2" s="6" t="s">
        <v>40</v>
      </c>
      <c r="B2" s="6" t="s">
        <v>41</v>
      </c>
      <c r="C2" s="6" t="s">
        <v>42</v>
      </c>
      <c r="D2" s="6" t="s">
        <v>43</v>
      </c>
    </row>
    <row r="3" spans="1:4" x14ac:dyDescent="0.3">
      <c r="A3" s="6" t="s">
        <v>44</v>
      </c>
      <c r="B3" s="6" t="s">
        <v>45</v>
      </c>
      <c r="C3" s="6" t="s">
        <v>46</v>
      </c>
      <c r="D3" s="6" t="s">
        <v>47</v>
      </c>
    </row>
    <row r="4" spans="1:4" x14ac:dyDescent="0.3">
      <c r="A4" s="6" t="s">
        <v>48</v>
      </c>
      <c r="B4" s="6" t="s">
        <v>49</v>
      </c>
      <c r="C4" s="6" t="s">
        <v>56</v>
      </c>
      <c r="D4" s="6" t="s">
        <v>50</v>
      </c>
    </row>
    <row r="5" spans="1:4" x14ac:dyDescent="0.3">
      <c r="A5" s="6" t="s">
        <v>51</v>
      </c>
      <c r="B5" s="6" t="s">
        <v>55</v>
      </c>
      <c r="C5" s="6" t="s">
        <v>52</v>
      </c>
      <c r="D5" s="6" t="s">
        <v>53</v>
      </c>
    </row>
    <row r="6" spans="1:4" x14ac:dyDescent="0.3">
      <c r="A6" s="6" t="s">
        <v>58</v>
      </c>
      <c r="B6" s="6" t="s">
        <v>45</v>
      </c>
      <c r="C6" s="6" t="s">
        <v>54</v>
      </c>
      <c r="D6" s="6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16E4E-5308-4641-B816-0A2870268C8C}">
  <dimension ref="A1:D4"/>
  <sheetViews>
    <sheetView workbookViewId="0">
      <selection activeCell="C9" sqref="C9"/>
    </sheetView>
  </sheetViews>
  <sheetFormatPr defaultRowHeight="14.4" x14ac:dyDescent="0.3"/>
  <cols>
    <col min="1" max="1" width="32.21875" bestFit="1" customWidth="1"/>
    <col min="2" max="2" width="29.21875" bestFit="1" customWidth="1"/>
    <col min="3" max="3" width="158.5546875" bestFit="1" customWidth="1"/>
    <col min="4" max="4" width="97.33203125" bestFit="1" customWidth="1"/>
  </cols>
  <sheetData>
    <row r="1" spans="1:4" x14ac:dyDescent="0.3">
      <c r="A1" s="7" t="s">
        <v>59</v>
      </c>
      <c r="B1" s="7" t="s">
        <v>60</v>
      </c>
      <c r="C1" s="7" t="s">
        <v>61</v>
      </c>
      <c r="D1" s="7" t="s">
        <v>62</v>
      </c>
    </row>
    <row r="2" spans="1:4" x14ac:dyDescent="0.3">
      <c r="A2" s="6" t="s">
        <v>63</v>
      </c>
      <c r="B2" s="6" t="s">
        <v>64</v>
      </c>
      <c r="C2" s="6" t="s">
        <v>70</v>
      </c>
      <c r="D2" s="6" t="s">
        <v>65</v>
      </c>
    </row>
    <row r="3" spans="1:4" x14ac:dyDescent="0.3">
      <c r="A3" s="6" t="s">
        <v>66</v>
      </c>
      <c r="B3" s="6" t="s">
        <v>71</v>
      </c>
      <c r="C3" s="6" t="s">
        <v>72</v>
      </c>
      <c r="D3" s="6" t="s">
        <v>73</v>
      </c>
    </row>
    <row r="4" spans="1:4" x14ac:dyDescent="0.3">
      <c r="A4" s="6" t="s">
        <v>67</v>
      </c>
      <c r="B4" s="6" t="s">
        <v>68</v>
      </c>
      <c r="C4" s="6" t="s">
        <v>69</v>
      </c>
      <c r="D4" s="6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AD276-7DA3-41A4-B188-45B394223DC8}">
  <dimension ref="A1:F96"/>
  <sheetViews>
    <sheetView tabSelected="1" workbookViewId="0">
      <selection activeCell="I7" sqref="I7"/>
    </sheetView>
  </sheetViews>
  <sheetFormatPr defaultRowHeight="14.4" x14ac:dyDescent="0.3"/>
  <cols>
    <col min="1" max="1" width="12.5546875" bestFit="1" customWidth="1"/>
    <col min="2" max="2" width="42.5546875" bestFit="1" customWidth="1"/>
    <col min="3" max="3" width="10.5546875" bestFit="1" customWidth="1"/>
    <col min="4" max="4" width="18.44140625" bestFit="1" customWidth="1"/>
    <col min="5" max="5" width="22" bestFit="1" customWidth="1"/>
    <col min="6" max="6" width="17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45658</v>
      </c>
      <c r="D2">
        <v>4.5999999999999996</v>
      </c>
      <c r="E2">
        <v>-0.4</v>
      </c>
      <c r="F2">
        <v>5</v>
      </c>
    </row>
    <row r="3" spans="1:6" x14ac:dyDescent="0.3">
      <c r="A3" t="s">
        <v>6</v>
      </c>
      <c r="B3" t="s">
        <v>7</v>
      </c>
      <c r="C3" s="1">
        <v>45689</v>
      </c>
      <c r="D3">
        <v>4.5999999999999996</v>
      </c>
      <c r="E3">
        <v>-0.2</v>
      </c>
      <c r="F3">
        <v>4.8</v>
      </c>
    </row>
    <row r="4" spans="1:6" x14ac:dyDescent="0.3">
      <c r="A4" t="s">
        <v>6</v>
      </c>
      <c r="B4" t="s">
        <v>7</v>
      </c>
      <c r="C4" s="1">
        <v>45717</v>
      </c>
      <c r="D4">
        <v>3.7</v>
      </c>
      <c r="E4">
        <v>-0.1</v>
      </c>
      <c r="F4">
        <v>3.8</v>
      </c>
    </row>
    <row r="5" spans="1:6" x14ac:dyDescent="0.3">
      <c r="A5" t="s">
        <v>6</v>
      </c>
      <c r="B5" t="s">
        <v>7</v>
      </c>
      <c r="C5" s="1">
        <v>45748</v>
      </c>
      <c r="D5">
        <v>4.5</v>
      </c>
      <c r="E5">
        <v>0</v>
      </c>
      <c r="F5">
        <v>4.5</v>
      </c>
    </row>
    <row r="6" spans="1:6" x14ac:dyDescent="0.3">
      <c r="A6" t="s">
        <v>6</v>
      </c>
      <c r="B6" t="s">
        <v>7</v>
      </c>
      <c r="C6" s="1">
        <v>45778</v>
      </c>
      <c r="D6">
        <v>3.1</v>
      </c>
      <c r="E6">
        <v>0.1</v>
      </c>
      <c r="F6">
        <v>3</v>
      </c>
    </row>
    <row r="7" spans="1:6" x14ac:dyDescent="0.3">
      <c r="A7" t="s">
        <v>6</v>
      </c>
      <c r="B7" t="s">
        <v>7</v>
      </c>
      <c r="C7" s="1">
        <v>45809</v>
      </c>
      <c r="D7">
        <v>5.5</v>
      </c>
      <c r="E7">
        <v>-0.2</v>
      </c>
      <c r="F7">
        <v>5.7</v>
      </c>
    </row>
    <row r="8" spans="1:6" x14ac:dyDescent="0.3">
      <c r="A8" t="s">
        <v>6</v>
      </c>
      <c r="B8" t="s">
        <v>7</v>
      </c>
      <c r="C8" s="1">
        <v>45839</v>
      </c>
      <c r="D8">
        <v>4</v>
      </c>
      <c r="E8">
        <v>-0.2</v>
      </c>
      <c r="F8">
        <v>4.2</v>
      </c>
    </row>
    <row r="9" spans="1:6" x14ac:dyDescent="0.3">
      <c r="A9" t="s">
        <v>6</v>
      </c>
      <c r="B9" t="s">
        <v>7</v>
      </c>
      <c r="C9" s="1">
        <v>45870</v>
      </c>
      <c r="D9">
        <v>1.8</v>
      </c>
      <c r="E9">
        <v>0</v>
      </c>
      <c r="F9">
        <v>1.8</v>
      </c>
    </row>
    <row r="10" spans="1:6" x14ac:dyDescent="0.3">
      <c r="A10" t="s">
        <v>6</v>
      </c>
      <c r="B10" t="s">
        <v>7</v>
      </c>
      <c r="C10" s="1">
        <v>45901</v>
      </c>
      <c r="D10">
        <v>0.6</v>
      </c>
      <c r="E10">
        <v>-0.1</v>
      </c>
      <c r="F10">
        <v>0.7</v>
      </c>
    </row>
    <row r="11" spans="1:6" x14ac:dyDescent="0.3">
      <c r="A11" t="s">
        <v>6</v>
      </c>
      <c r="B11" t="s">
        <v>7</v>
      </c>
      <c r="C11" s="1">
        <v>45931</v>
      </c>
      <c r="D11">
        <v>2</v>
      </c>
      <c r="E11">
        <v>-0.3</v>
      </c>
      <c r="F11">
        <v>2.2999999999999998</v>
      </c>
    </row>
    <row r="12" spans="1:6" x14ac:dyDescent="0.3">
      <c r="A12" t="s">
        <v>6</v>
      </c>
      <c r="B12" t="s">
        <v>7</v>
      </c>
      <c r="C12" s="1">
        <v>45962</v>
      </c>
      <c r="D12">
        <v>1.3</v>
      </c>
      <c r="E12">
        <v>-0.5</v>
      </c>
      <c r="F12">
        <v>1.8</v>
      </c>
    </row>
    <row r="13" spans="1:6" x14ac:dyDescent="0.3">
      <c r="A13" t="s">
        <v>6</v>
      </c>
      <c r="B13" t="s">
        <v>7</v>
      </c>
      <c r="C13" s="1">
        <v>45992</v>
      </c>
      <c r="D13">
        <v>3.2</v>
      </c>
      <c r="E13">
        <v>-0.5</v>
      </c>
      <c r="F13">
        <v>3.7</v>
      </c>
    </row>
    <row r="14" spans="1:6" x14ac:dyDescent="0.3">
      <c r="A14" t="s">
        <v>6</v>
      </c>
      <c r="B14" t="s">
        <v>7</v>
      </c>
      <c r="C14" s="1">
        <v>46023</v>
      </c>
      <c r="D14">
        <v>1.4</v>
      </c>
      <c r="E14">
        <v>-1.1000000000000001</v>
      </c>
      <c r="F14">
        <v>2.5</v>
      </c>
    </row>
    <row r="15" spans="1:6" x14ac:dyDescent="0.3">
      <c r="A15" t="s">
        <v>6</v>
      </c>
      <c r="B15" t="s">
        <v>7</v>
      </c>
      <c r="C15" s="1">
        <v>46054</v>
      </c>
      <c r="D15">
        <v>1.1000000000000001</v>
      </c>
      <c r="E15">
        <v>-1.3</v>
      </c>
      <c r="F15">
        <v>2.4</v>
      </c>
    </row>
    <row r="16" spans="1:6" x14ac:dyDescent="0.3">
      <c r="A16" t="s">
        <v>6</v>
      </c>
      <c r="B16" t="s">
        <v>7</v>
      </c>
      <c r="C16" s="1">
        <v>46082</v>
      </c>
      <c r="D16">
        <v>0.8</v>
      </c>
      <c r="E16">
        <v>-1.6</v>
      </c>
      <c r="F16">
        <v>2.4</v>
      </c>
    </row>
    <row r="17" spans="1:6" x14ac:dyDescent="0.3">
      <c r="A17" t="s">
        <v>6</v>
      </c>
      <c r="B17" t="s">
        <v>7</v>
      </c>
      <c r="C17" s="1">
        <v>46113</v>
      </c>
      <c r="D17">
        <v>-0.4</v>
      </c>
      <c r="E17">
        <v>-1.8</v>
      </c>
      <c r="F17">
        <v>1.4</v>
      </c>
    </row>
    <row r="18" spans="1:6" x14ac:dyDescent="0.3">
      <c r="A18" t="s">
        <v>6</v>
      </c>
      <c r="B18" t="s">
        <v>7</v>
      </c>
      <c r="C18" s="1">
        <v>46143</v>
      </c>
      <c r="D18">
        <v>2.1</v>
      </c>
      <c r="E18">
        <v>-1.8</v>
      </c>
      <c r="F18">
        <v>3.9</v>
      </c>
    </row>
    <row r="19" spans="1:6" x14ac:dyDescent="0.3">
      <c r="A19" t="s">
        <v>6</v>
      </c>
      <c r="B19" t="s">
        <v>7</v>
      </c>
      <c r="C19" s="1">
        <v>46174</v>
      </c>
      <c r="D19">
        <v>0.7</v>
      </c>
      <c r="E19">
        <v>-1.8</v>
      </c>
      <c r="F19">
        <v>2.5</v>
      </c>
    </row>
    <row r="20" spans="1:6" x14ac:dyDescent="0.3">
      <c r="A20" t="s">
        <v>6</v>
      </c>
      <c r="B20" t="s">
        <v>7</v>
      </c>
      <c r="C20" s="1">
        <v>46204</v>
      </c>
      <c r="D20">
        <v>-2.4</v>
      </c>
      <c r="E20">
        <v>-1.8</v>
      </c>
      <c r="F20">
        <v>-0.6</v>
      </c>
    </row>
    <row r="21" spans="1:6" x14ac:dyDescent="0.3">
      <c r="A21" t="s">
        <v>8</v>
      </c>
      <c r="B21" t="s">
        <v>9</v>
      </c>
      <c r="C21" s="1">
        <v>45658</v>
      </c>
      <c r="D21">
        <v>1.8</v>
      </c>
      <c r="E21">
        <v>2.7</v>
      </c>
      <c r="F21">
        <v>-0.9</v>
      </c>
    </row>
    <row r="22" spans="1:6" x14ac:dyDescent="0.3">
      <c r="A22" t="s">
        <v>8</v>
      </c>
      <c r="B22" t="s">
        <v>9</v>
      </c>
      <c r="C22" s="1">
        <v>45689</v>
      </c>
      <c r="D22">
        <v>1</v>
      </c>
      <c r="E22">
        <v>2.2000000000000002</v>
      </c>
      <c r="F22">
        <v>-1.2</v>
      </c>
    </row>
    <row r="23" spans="1:6" x14ac:dyDescent="0.3">
      <c r="A23" t="s">
        <v>8</v>
      </c>
      <c r="B23" t="s">
        <v>9</v>
      </c>
      <c r="C23" s="1">
        <v>45717</v>
      </c>
      <c r="D23">
        <v>2</v>
      </c>
      <c r="E23">
        <v>1.8</v>
      </c>
      <c r="F23">
        <v>0.2</v>
      </c>
    </row>
    <row r="24" spans="1:6" x14ac:dyDescent="0.3">
      <c r="A24" t="s">
        <v>8</v>
      </c>
      <c r="B24" t="s">
        <v>9</v>
      </c>
      <c r="C24" s="1">
        <v>45748</v>
      </c>
      <c r="D24">
        <v>1.7</v>
      </c>
      <c r="E24">
        <v>2.2000000000000002</v>
      </c>
      <c r="F24">
        <v>-0.5</v>
      </c>
    </row>
    <row r="25" spans="1:6" x14ac:dyDescent="0.3">
      <c r="A25" t="s">
        <v>8</v>
      </c>
      <c r="B25" t="s">
        <v>9</v>
      </c>
      <c r="C25" s="1">
        <v>45778</v>
      </c>
      <c r="D25">
        <v>0.7</v>
      </c>
      <c r="E25">
        <v>1.5</v>
      </c>
      <c r="F25">
        <v>-0.8</v>
      </c>
    </row>
    <row r="26" spans="1:6" x14ac:dyDescent="0.3">
      <c r="A26" t="s">
        <v>8</v>
      </c>
      <c r="B26" t="s">
        <v>9</v>
      </c>
      <c r="C26" s="1">
        <v>45809</v>
      </c>
      <c r="D26">
        <v>1.2</v>
      </c>
      <c r="E26">
        <v>0.8</v>
      </c>
      <c r="F26">
        <v>0.4</v>
      </c>
    </row>
    <row r="27" spans="1:6" x14ac:dyDescent="0.3">
      <c r="A27" t="s">
        <v>8</v>
      </c>
      <c r="B27" t="s">
        <v>9</v>
      </c>
      <c r="C27" s="1">
        <v>45839</v>
      </c>
      <c r="D27">
        <v>0.1</v>
      </c>
      <c r="E27">
        <v>0.6</v>
      </c>
      <c r="F27">
        <v>-0.5</v>
      </c>
    </row>
    <row r="28" spans="1:6" x14ac:dyDescent="0.3">
      <c r="A28" t="s">
        <v>8</v>
      </c>
      <c r="B28" t="s">
        <v>9</v>
      </c>
      <c r="C28" s="1">
        <v>45870</v>
      </c>
      <c r="D28">
        <v>-2.2000000000000002</v>
      </c>
      <c r="E28">
        <v>0.3</v>
      </c>
      <c r="F28">
        <v>-2.5</v>
      </c>
    </row>
    <row r="29" spans="1:6" x14ac:dyDescent="0.3">
      <c r="A29" t="s">
        <v>8</v>
      </c>
      <c r="B29" t="s">
        <v>9</v>
      </c>
      <c r="C29" s="1">
        <v>45901</v>
      </c>
      <c r="D29">
        <v>-2.5</v>
      </c>
      <c r="E29">
        <v>0.5</v>
      </c>
      <c r="F29">
        <v>-3</v>
      </c>
    </row>
    <row r="30" spans="1:6" x14ac:dyDescent="0.3">
      <c r="A30" t="s">
        <v>8</v>
      </c>
      <c r="B30" t="s">
        <v>9</v>
      </c>
      <c r="C30" s="1">
        <v>45931</v>
      </c>
      <c r="D30">
        <v>-0.3</v>
      </c>
      <c r="E30">
        <v>0.1</v>
      </c>
      <c r="F30">
        <v>-0.4</v>
      </c>
    </row>
    <row r="31" spans="1:6" x14ac:dyDescent="0.3">
      <c r="A31" t="s">
        <v>8</v>
      </c>
      <c r="B31" t="s">
        <v>9</v>
      </c>
      <c r="C31" s="1">
        <v>45962</v>
      </c>
      <c r="D31">
        <v>-0.4</v>
      </c>
      <c r="E31">
        <v>-0.3</v>
      </c>
      <c r="F31">
        <v>-0.1</v>
      </c>
    </row>
    <row r="32" spans="1:6" x14ac:dyDescent="0.3">
      <c r="A32" t="s">
        <v>8</v>
      </c>
      <c r="B32" t="s">
        <v>9</v>
      </c>
      <c r="C32" s="1">
        <v>45992</v>
      </c>
      <c r="D32">
        <v>0.7</v>
      </c>
      <c r="E32">
        <v>-0.1</v>
      </c>
      <c r="F32">
        <v>0.8</v>
      </c>
    </row>
    <row r="33" spans="1:6" x14ac:dyDescent="0.3">
      <c r="A33" t="s">
        <v>8</v>
      </c>
      <c r="B33" t="s">
        <v>9</v>
      </c>
      <c r="C33" s="1">
        <v>46023</v>
      </c>
      <c r="D33">
        <v>-0.5</v>
      </c>
      <c r="E33">
        <v>-1.3</v>
      </c>
      <c r="F33">
        <v>0.8</v>
      </c>
    </row>
    <row r="34" spans="1:6" x14ac:dyDescent="0.3">
      <c r="A34" t="s">
        <v>8</v>
      </c>
      <c r="B34" t="s">
        <v>9</v>
      </c>
      <c r="C34" s="1">
        <v>46054</v>
      </c>
      <c r="D34">
        <v>-1</v>
      </c>
      <c r="E34">
        <v>-1.1000000000000001</v>
      </c>
      <c r="F34">
        <v>0.1</v>
      </c>
    </row>
    <row r="35" spans="1:6" x14ac:dyDescent="0.3">
      <c r="A35" t="s">
        <v>8</v>
      </c>
      <c r="B35" t="s">
        <v>9</v>
      </c>
      <c r="C35" s="1">
        <v>46082</v>
      </c>
      <c r="D35">
        <v>-2.1</v>
      </c>
      <c r="E35">
        <v>-1.7</v>
      </c>
      <c r="F35">
        <v>-0.4</v>
      </c>
    </row>
    <row r="36" spans="1:6" x14ac:dyDescent="0.3">
      <c r="A36" t="s">
        <v>8</v>
      </c>
      <c r="B36" t="s">
        <v>9</v>
      </c>
      <c r="C36" s="1">
        <v>46113</v>
      </c>
      <c r="D36">
        <v>-0.1</v>
      </c>
      <c r="E36">
        <v>-1.5</v>
      </c>
      <c r="F36">
        <v>1.4</v>
      </c>
    </row>
    <row r="37" spans="1:6" x14ac:dyDescent="0.3">
      <c r="A37" t="s">
        <v>8</v>
      </c>
      <c r="B37" t="s">
        <v>9</v>
      </c>
      <c r="C37" s="1">
        <v>46143</v>
      </c>
      <c r="D37">
        <v>1.2</v>
      </c>
      <c r="E37">
        <v>-1.5</v>
      </c>
      <c r="F37">
        <v>2.7</v>
      </c>
    </row>
    <row r="38" spans="1:6" x14ac:dyDescent="0.3">
      <c r="A38" t="s">
        <v>8</v>
      </c>
      <c r="B38" t="s">
        <v>9</v>
      </c>
      <c r="C38" s="1">
        <v>46174</v>
      </c>
      <c r="D38">
        <v>-0.7</v>
      </c>
      <c r="E38">
        <v>-1.8</v>
      </c>
      <c r="F38">
        <v>1.1000000000000001</v>
      </c>
    </row>
    <row r="39" spans="1:6" x14ac:dyDescent="0.3">
      <c r="A39" t="s">
        <v>8</v>
      </c>
      <c r="B39" t="s">
        <v>9</v>
      </c>
      <c r="C39" s="1">
        <v>46204</v>
      </c>
      <c r="D39">
        <v>0.2</v>
      </c>
      <c r="E39">
        <v>-2.4</v>
      </c>
      <c r="F39">
        <v>2.6</v>
      </c>
    </row>
    <row r="40" spans="1:6" x14ac:dyDescent="0.3">
      <c r="A40" t="s">
        <v>10</v>
      </c>
      <c r="B40" t="s">
        <v>11</v>
      </c>
      <c r="C40" s="1">
        <v>45658</v>
      </c>
      <c r="D40">
        <v>8.5</v>
      </c>
      <c r="E40">
        <v>-1.2</v>
      </c>
      <c r="F40">
        <v>9.6999999999999993</v>
      </c>
    </row>
    <row r="41" spans="1:6" x14ac:dyDescent="0.3">
      <c r="A41" t="s">
        <v>10</v>
      </c>
      <c r="B41" t="s">
        <v>11</v>
      </c>
      <c r="C41" s="1">
        <v>45689</v>
      </c>
      <c r="D41">
        <v>13.6</v>
      </c>
      <c r="E41">
        <v>-1.8</v>
      </c>
      <c r="F41">
        <v>15.4</v>
      </c>
    </row>
    <row r="42" spans="1:6" x14ac:dyDescent="0.3">
      <c r="A42" t="s">
        <v>10</v>
      </c>
      <c r="B42" t="s">
        <v>11</v>
      </c>
      <c r="C42" s="1">
        <v>45717</v>
      </c>
      <c r="D42">
        <v>7.8</v>
      </c>
      <c r="E42">
        <v>-0.6</v>
      </c>
      <c r="F42">
        <v>8.4</v>
      </c>
    </row>
    <row r="43" spans="1:6" x14ac:dyDescent="0.3">
      <c r="A43" t="s">
        <v>10</v>
      </c>
      <c r="B43" t="s">
        <v>11</v>
      </c>
      <c r="C43" s="1">
        <v>45748</v>
      </c>
      <c r="D43">
        <v>6.9</v>
      </c>
      <c r="E43">
        <v>-1.5</v>
      </c>
      <c r="F43">
        <v>8.4</v>
      </c>
    </row>
    <row r="44" spans="1:6" x14ac:dyDescent="0.3">
      <c r="A44" t="s">
        <v>10</v>
      </c>
      <c r="B44" t="s">
        <v>11</v>
      </c>
      <c r="C44" s="1">
        <v>45778</v>
      </c>
      <c r="D44">
        <v>-0.4</v>
      </c>
      <c r="E44">
        <v>-1.7</v>
      </c>
      <c r="F44">
        <v>1.3</v>
      </c>
    </row>
    <row r="45" spans="1:6" x14ac:dyDescent="0.3">
      <c r="A45" t="s">
        <v>10</v>
      </c>
      <c r="B45" t="s">
        <v>11</v>
      </c>
      <c r="C45" s="1">
        <v>45809</v>
      </c>
      <c r="D45">
        <v>-0.3</v>
      </c>
      <c r="E45">
        <v>0</v>
      </c>
      <c r="F45">
        <v>-0.3</v>
      </c>
    </row>
    <row r="46" spans="1:6" x14ac:dyDescent="0.3">
      <c r="A46" t="s">
        <v>10</v>
      </c>
      <c r="B46" t="s">
        <v>11</v>
      </c>
      <c r="C46" s="1">
        <v>45839</v>
      </c>
      <c r="D46">
        <v>8.6</v>
      </c>
      <c r="E46">
        <v>-0.6</v>
      </c>
      <c r="F46">
        <v>9.1999999999999993</v>
      </c>
    </row>
    <row r="47" spans="1:6" x14ac:dyDescent="0.3">
      <c r="A47" t="s">
        <v>10</v>
      </c>
      <c r="B47" t="s">
        <v>11</v>
      </c>
      <c r="C47" s="1">
        <v>45870</v>
      </c>
      <c r="D47">
        <v>6.9</v>
      </c>
      <c r="E47">
        <v>0</v>
      </c>
      <c r="F47">
        <v>6.9</v>
      </c>
    </row>
    <row r="48" spans="1:6" x14ac:dyDescent="0.3">
      <c r="A48" t="s">
        <v>10</v>
      </c>
      <c r="B48" t="s">
        <v>11</v>
      </c>
      <c r="C48" s="1">
        <v>45901</v>
      </c>
      <c r="D48">
        <v>7.5</v>
      </c>
      <c r="E48">
        <v>-0.3</v>
      </c>
      <c r="F48">
        <v>7.8</v>
      </c>
    </row>
    <row r="49" spans="1:6" x14ac:dyDescent="0.3">
      <c r="A49" t="s">
        <v>10</v>
      </c>
      <c r="B49" t="s">
        <v>11</v>
      </c>
      <c r="C49" s="1">
        <v>45931</v>
      </c>
      <c r="D49">
        <v>16.5</v>
      </c>
      <c r="E49">
        <v>1.5</v>
      </c>
      <c r="F49">
        <v>15</v>
      </c>
    </row>
    <row r="50" spans="1:6" x14ac:dyDescent="0.3">
      <c r="A50" t="s">
        <v>10</v>
      </c>
      <c r="B50" t="s">
        <v>11</v>
      </c>
      <c r="C50" s="1">
        <v>45962</v>
      </c>
      <c r="D50">
        <v>14.1</v>
      </c>
      <c r="E50">
        <v>2</v>
      </c>
      <c r="F50">
        <v>12.1</v>
      </c>
    </row>
    <row r="51" spans="1:6" x14ac:dyDescent="0.3">
      <c r="A51" t="s">
        <v>10</v>
      </c>
      <c r="B51" t="s">
        <v>11</v>
      </c>
      <c r="C51" s="1">
        <v>45992</v>
      </c>
      <c r="D51">
        <v>20.5</v>
      </c>
      <c r="E51">
        <v>2.1</v>
      </c>
      <c r="F51">
        <v>18.399999999999999</v>
      </c>
    </row>
    <row r="52" spans="1:6" x14ac:dyDescent="0.3">
      <c r="A52" t="s">
        <v>10</v>
      </c>
      <c r="B52" t="s">
        <v>11</v>
      </c>
      <c r="C52" s="1">
        <v>46023</v>
      </c>
      <c r="D52">
        <v>11.3</v>
      </c>
      <c r="E52">
        <v>0.9</v>
      </c>
      <c r="F52">
        <v>10.4</v>
      </c>
    </row>
    <row r="53" spans="1:6" x14ac:dyDescent="0.3">
      <c r="A53" t="s">
        <v>10</v>
      </c>
      <c r="B53" t="s">
        <v>11</v>
      </c>
      <c r="C53" s="1">
        <v>46054</v>
      </c>
      <c r="D53">
        <v>11.3</v>
      </c>
      <c r="E53">
        <v>1.3</v>
      </c>
      <c r="F53">
        <v>10</v>
      </c>
    </row>
    <row r="54" spans="1:6" x14ac:dyDescent="0.3">
      <c r="A54" t="s">
        <v>10</v>
      </c>
      <c r="B54" t="s">
        <v>11</v>
      </c>
      <c r="C54" s="1">
        <v>46082</v>
      </c>
      <c r="D54">
        <v>19.2</v>
      </c>
      <c r="E54">
        <v>0.4</v>
      </c>
      <c r="F54">
        <v>18.8</v>
      </c>
    </row>
    <row r="55" spans="1:6" x14ac:dyDescent="0.3">
      <c r="A55" t="s">
        <v>10</v>
      </c>
      <c r="B55" t="s">
        <v>11</v>
      </c>
      <c r="C55" s="1">
        <v>46113</v>
      </c>
      <c r="D55">
        <v>63.8</v>
      </c>
      <c r="E55">
        <v>0.2</v>
      </c>
      <c r="F55">
        <v>63.6</v>
      </c>
    </row>
    <row r="56" spans="1:6" x14ac:dyDescent="0.3">
      <c r="A56" t="s">
        <v>10</v>
      </c>
      <c r="B56" t="s">
        <v>11</v>
      </c>
      <c r="C56" s="1">
        <v>46143</v>
      </c>
      <c r="D56">
        <v>30.5</v>
      </c>
      <c r="E56">
        <v>-0.1</v>
      </c>
      <c r="F56">
        <v>30.6</v>
      </c>
    </row>
    <row r="57" spans="1:6" x14ac:dyDescent="0.3">
      <c r="A57" t="s">
        <v>10</v>
      </c>
      <c r="B57" t="s">
        <v>11</v>
      </c>
      <c r="C57" s="1">
        <v>46174</v>
      </c>
      <c r="D57">
        <v>12.4</v>
      </c>
      <c r="E57">
        <v>-0.1</v>
      </c>
      <c r="F57">
        <v>12.5</v>
      </c>
    </row>
    <row r="58" spans="1:6" x14ac:dyDescent="0.3">
      <c r="A58" t="s">
        <v>10</v>
      </c>
      <c r="B58" t="s">
        <v>11</v>
      </c>
      <c r="C58" s="1">
        <v>46204</v>
      </c>
      <c r="D58">
        <v>2.7</v>
      </c>
      <c r="E58">
        <v>-0.7</v>
      </c>
      <c r="F58">
        <v>3.4</v>
      </c>
    </row>
    <row r="59" spans="1:6" x14ac:dyDescent="0.3">
      <c r="A59" t="s">
        <v>12</v>
      </c>
      <c r="B59" t="s">
        <v>13</v>
      </c>
      <c r="C59" s="1">
        <v>45658</v>
      </c>
      <c r="D59">
        <v>14</v>
      </c>
      <c r="E59">
        <v>-1.4</v>
      </c>
      <c r="F59">
        <v>15.4</v>
      </c>
    </row>
    <row r="60" spans="1:6" x14ac:dyDescent="0.3">
      <c r="A60" t="s">
        <v>12</v>
      </c>
      <c r="B60" t="s">
        <v>13</v>
      </c>
      <c r="C60" s="1">
        <v>45689</v>
      </c>
      <c r="D60">
        <v>17</v>
      </c>
      <c r="E60">
        <v>-1.3</v>
      </c>
      <c r="F60">
        <v>18.3</v>
      </c>
    </row>
    <row r="61" spans="1:6" x14ac:dyDescent="0.3">
      <c r="A61" t="s">
        <v>12</v>
      </c>
      <c r="B61" t="s">
        <v>13</v>
      </c>
      <c r="C61" s="1">
        <v>45717</v>
      </c>
      <c r="D61">
        <v>12.1</v>
      </c>
      <c r="E61">
        <v>-1.6</v>
      </c>
      <c r="F61">
        <v>13.7</v>
      </c>
    </row>
    <row r="62" spans="1:6" x14ac:dyDescent="0.3">
      <c r="A62" t="s">
        <v>12</v>
      </c>
      <c r="B62" t="s">
        <v>13</v>
      </c>
      <c r="C62" s="1">
        <v>45748</v>
      </c>
      <c r="D62">
        <v>17.600000000000001</v>
      </c>
      <c r="E62">
        <v>-1.6</v>
      </c>
      <c r="F62">
        <v>19.2</v>
      </c>
    </row>
    <row r="63" spans="1:6" x14ac:dyDescent="0.3">
      <c r="A63" t="s">
        <v>12</v>
      </c>
      <c r="B63" t="s">
        <v>13</v>
      </c>
      <c r="C63" s="1">
        <v>45778</v>
      </c>
      <c r="D63">
        <v>11.7</v>
      </c>
      <c r="E63">
        <v>-1.7</v>
      </c>
      <c r="F63">
        <v>13.4</v>
      </c>
    </row>
    <row r="64" spans="1:6" x14ac:dyDescent="0.3">
      <c r="A64" t="s">
        <v>12</v>
      </c>
      <c r="B64" t="s">
        <v>13</v>
      </c>
      <c r="C64" s="1">
        <v>45809</v>
      </c>
      <c r="D64">
        <v>21.3</v>
      </c>
      <c r="E64">
        <v>-2.1</v>
      </c>
      <c r="F64">
        <v>23.4</v>
      </c>
    </row>
    <row r="65" spans="1:6" x14ac:dyDescent="0.3">
      <c r="A65" t="s">
        <v>12</v>
      </c>
      <c r="B65" t="s">
        <v>13</v>
      </c>
      <c r="C65" s="1">
        <v>45839</v>
      </c>
      <c r="D65">
        <v>16.399999999999999</v>
      </c>
      <c r="E65">
        <v>-2.2999999999999998</v>
      </c>
      <c r="F65">
        <v>18.7</v>
      </c>
    </row>
    <row r="66" spans="1:6" x14ac:dyDescent="0.3">
      <c r="A66" t="s">
        <v>12</v>
      </c>
      <c r="B66" t="s">
        <v>13</v>
      </c>
      <c r="C66" s="1">
        <v>45870</v>
      </c>
      <c r="D66">
        <v>8.5</v>
      </c>
      <c r="E66">
        <v>-1.9</v>
      </c>
      <c r="F66">
        <v>10.4</v>
      </c>
    </row>
    <row r="67" spans="1:6" x14ac:dyDescent="0.3">
      <c r="A67" t="s">
        <v>12</v>
      </c>
      <c r="B67" t="s">
        <v>13</v>
      </c>
      <c r="C67" s="1">
        <v>45901</v>
      </c>
      <c r="D67">
        <v>2.4</v>
      </c>
      <c r="E67">
        <v>-2.6</v>
      </c>
      <c r="F67">
        <v>5</v>
      </c>
    </row>
    <row r="68" spans="1:6" x14ac:dyDescent="0.3">
      <c r="A68" t="s">
        <v>12</v>
      </c>
      <c r="B68" t="s">
        <v>13</v>
      </c>
      <c r="C68" s="1">
        <v>45931</v>
      </c>
      <c r="D68">
        <v>3.8</v>
      </c>
      <c r="E68">
        <v>-3</v>
      </c>
      <c r="F68">
        <v>6.8</v>
      </c>
    </row>
    <row r="69" spans="1:6" x14ac:dyDescent="0.3">
      <c r="A69" t="s">
        <v>12</v>
      </c>
      <c r="B69" t="s">
        <v>13</v>
      </c>
      <c r="C69" s="1">
        <v>45962</v>
      </c>
      <c r="D69">
        <v>5.8</v>
      </c>
      <c r="E69">
        <v>-3</v>
      </c>
      <c r="F69">
        <v>8.8000000000000007</v>
      </c>
    </row>
    <row r="70" spans="1:6" x14ac:dyDescent="0.3">
      <c r="A70" t="s">
        <v>12</v>
      </c>
      <c r="B70" t="s">
        <v>13</v>
      </c>
      <c r="C70" s="1">
        <v>45992</v>
      </c>
      <c r="D70">
        <v>1</v>
      </c>
      <c r="E70">
        <v>-2.7</v>
      </c>
      <c r="F70">
        <v>3.7</v>
      </c>
    </row>
    <row r="71" spans="1:6" x14ac:dyDescent="0.3">
      <c r="A71" t="s">
        <v>12</v>
      </c>
      <c r="B71" t="s">
        <v>13</v>
      </c>
      <c r="C71" s="1">
        <v>46023</v>
      </c>
      <c r="D71">
        <v>4.3</v>
      </c>
      <c r="E71">
        <v>-2.2000000000000002</v>
      </c>
      <c r="F71">
        <v>6.5</v>
      </c>
    </row>
    <row r="72" spans="1:6" x14ac:dyDescent="0.3">
      <c r="A72" t="s">
        <v>12</v>
      </c>
      <c r="B72" t="s">
        <v>13</v>
      </c>
      <c r="C72" s="1">
        <v>46054</v>
      </c>
      <c r="D72">
        <v>4.5</v>
      </c>
      <c r="E72">
        <v>-2.2999999999999998</v>
      </c>
      <c r="F72">
        <v>6.8</v>
      </c>
    </row>
    <row r="73" spans="1:6" x14ac:dyDescent="0.3">
      <c r="A73" t="s">
        <v>12</v>
      </c>
      <c r="B73" t="s">
        <v>13</v>
      </c>
      <c r="C73" s="1">
        <v>46082</v>
      </c>
      <c r="D73">
        <v>7.3</v>
      </c>
      <c r="E73">
        <v>-2.2000000000000002</v>
      </c>
      <c r="F73">
        <v>9.5</v>
      </c>
    </row>
    <row r="74" spans="1:6" x14ac:dyDescent="0.3">
      <c r="A74" t="s">
        <v>12</v>
      </c>
      <c r="B74" t="s">
        <v>13</v>
      </c>
      <c r="C74" s="1">
        <v>46113</v>
      </c>
      <c r="D74">
        <v>1.1000000000000001</v>
      </c>
      <c r="E74">
        <v>-2.7</v>
      </c>
      <c r="F74">
        <v>3.8</v>
      </c>
    </row>
    <row r="75" spans="1:6" x14ac:dyDescent="0.3">
      <c r="A75" t="s">
        <v>12</v>
      </c>
      <c r="B75" t="s">
        <v>13</v>
      </c>
      <c r="C75" s="1">
        <v>46143</v>
      </c>
      <c r="D75">
        <v>7.7</v>
      </c>
      <c r="E75">
        <v>-2.9</v>
      </c>
      <c r="F75">
        <v>10.6</v>
      </c>
    </row>
    <row r="76" spans="1:6" x14ac:dyDescent="0.3">
      <c r="A76" t="s">
        <v>12</v>
      </c>
      <c r="B76" t="s">
        <v>13</v>
      </c>
      <c r="C76" s="1">
        <v>46174</v>
      </c>
      <c r="D76">
        <v>6</v>
      </c>
      <c r="E76">
        <v>-3.4</v>
      </c>
      <c r="F76">
        <v>9.4</v>
      </c>
    </row>
    <row r="77" spans="1:6" x14ac:dyDescent="0.3">
      <c r="A77" t="s">
        <v>12</v>
      </c>
      <c r="B77" t="s">
        <v>13</v>
      </c>
      <c r="C77" s="1">
        <v>46204</v>
      </c>
      <c r="D77">
        <v>-0.8</v>
      </c>
      <c r="E77">
        <v>-3.4</v>
      </c>
      <c r="F77">
        <v>2.6</v>
      </c>
    </row>
    <row r="78" spans="1:6" x14ac:dyDescent="0.3">
      <c r="A78" t="s">
        <v>14</v>
      </c>
      <c r="B78" t="s">
        <v>15</v>
      </c>
      <c r="C78" s="1">
        <v>45658</v>
      </c>
      <c r="D78">
        <v>-2.9</v>
      </c>
      <c r="E78">
        <v>-0.6</v>
      </c>
      <c r="F78">
        <v>-2.2999999999999998</v>
      </c>
    </row>
    <row r="79" spans="1:6" x14ac:dyDescent="0.3">
      <c r="A79" t="s">
        <v>14</v>
      </c>
      <c r="B79" t="s">
        <v>15</v>
      </c>
      <c r="C79" s="1">
        <v>45689</v>
      </c>
      <c r="D79">
        <v>11.5</v>
      </c>
      <c r="E79">
        <v>-2.9</v>
      </c>
      <c r="F79">
        <v>14.4</v>
      </c>
    </row>
    <row r="80" spans="1:6" x14ac:dyDescent="0.3">
      <c r="A80" t="s">
        <v>14</v>
      </c>
      <c r="B80" t="s">
        <v>15</v>
      </c>
      <c r="C80" s="1">
        <v>45717</v>
      </c>
      <c r="D80">
        <v>7.1</v>
      </c>
      <c r="E80">
        <v>-3.2</v>
      </c>
      <c r="F80">
        <v>10.3</v>
      </c>
    </row>
    <row r="81" spans="1:6" x14ac:dyDescent="0.3">
      <c r="A81" t="s">
        <v>14</v>
      </c>
      <c r="B81" t="s">
        <v>15</v>
      </c>
      <c r="C81" s="1">
        <v>45748</v>
      </c>
      <c r="D81">
        <v>12.9</v>
      </c>
      <c r="E81">
        <v>-3.8</v>
      </c>
      <c r="F81">
        <v>16.7</v>
      </c>
    </row>
    <row r="82" spans="1:6" x14ac:dyDescent="0.3">
      <c r="A82" t="s">
        <v>14</v>
      </c>
      <c r="B82" t="s">
        <v>15</v>
      </c>
      <c r="C82" s="1">
        <v>45778</v>
      </c>
      <c r="D82">
        <v>6.4</v>
      </c>
      <c r="E82">
        <v>-3.2</v>
      </c>
      <c r="F82">
        <v>9.6</v>
      </c>
    </row>
    <row r="83" spans="1:6" x14ac:dyDescent="0.3">
      <c r="A83" t="s">
        <v>14</v>
      </c>
      <c r="B83" t="s">
        <v>15</v>
      </c>
      <c r="C83" s="1">
        <v>45809</v>
      </c>
      <c r="D83">
        <v>6.6</v>
      </c>
      <c r="E83">
        <v>-2.2999999999999998</v>
      </c>
      <c r="F83">
        <v>8.9</v>
      </c>
    </row>
    <row r="84" spans="1:6" x14ac:dyDescent="0.3">
      <c r="A84" t="s">
        <v>14</v>
      </c>
      <c r="B84" t="s">
        <v>15</v>
      </c>
      <c r="C84" s="1">
        <v>45839</v>
      </c>
      <c r="D84">
        <v>0.4</v>
      </c>
      <c r="E84">
        <v>-3.2</v>
      </c>
      <c r="F84">
        <v>3.6</v>
      </c>
    </row>
    <row r="85" spans="1:6" x14ac:dyDescent="0.3">
      <c r="A85" t="s">
        <v>14</v>
      </c>
      <c r="B85" t="s">
        <v>15</v>
      </c>
      <c r="C85" s="1">
        <v>45870</v>
      </c>
      <c r="D85">
        <v>-7.2</v>
      </c>
      <c r="E85">
        <v>-4.9000000000000004</v>
      </c>
      <c r="F85">
        <v>-2.2999999999999998</v>
      </c>
    </row>
    <row r="86" spans="1:6" x14ac:dyDescent="0.3">
      <c r="A86" t="s">
        <v>14</v>
      </c>
      <c r="B86" t="s">
        <v>15</v>
      </c>
      <c r="C86" s="1">
        <v>45901</v>
      </c>
      <c r="D86">
        <v>-11.8</v>
      </c>
      <c r="E86">
        <v>-4.8</v>
      </c>
      <c r="F86">
        <v>-7</v>
      </c>
    </row>
    <row r="87" spans="1:6" x14ac:dyDescent="0.3">
      <c r="A87" t="s">
        <v>14</v>
      </c>
      <c r="B87" t="s">
        <v>15</v>
      </c>
      <c r="C87" s="1">
        <v>45931</v>
      </c>
      <c r="D87">
        <v>-2.1</v>
      </c>
      <c r="E87">
        <v>-5.6</v>
      </c>
      <c r="F87">
        <v>3.5</v>
      </c>
    </row>
    <row r="88" spans="1:6" x14ac:dyDescent="0.3">
      <c r="A88" t="s">
        <v>14</v>
      </c>
      <c r="B88" t="s">
        <v>15</v>
      </c>
      <c r="C88" s="1">
        <v>45962</v>
      </c>
      <c r="D88">
        <v>-3.7</v>
      </c>
      <c r="E88">
        <v>-5.9</v>
      </c>
      <c r="F88">
        <v>2.2000000000000002</v>
      </c>
    </row>
    <row r="89" spans="1:6" x14ac:dyDescent="0.3">
      <c r="A89" t="s">
        <v>14</v>
      </c>
      <c r="B89" t="s">
        <v>15</v>
      </c>
      <c r="C89" s="1">
        <v>45992</v>
      </c>
      <c r="D89">
        <v>3.3</v>
      </c>
      <c r="E89">
        <v>-4.9000000000000004</v>
      </c>
      <c r="F89">
        <v>8.1999999999999993</v>
      </c>
    </row>
    <row r="90" spans="1:6" x14ac:dyDescent="0.3">
      <c r="A90" t="s">
        <v>14</v>
      </c>
      <c r="B90" t="s">
        <v>15</v>
      </c>
      <c r="C90" s="1">
        <v>46023</v>
      </c>
      <c r="D90">
        <v>5.8</v>
      </c>
      <c r="E90">
        <v>-4.5999999999999996</v>
      </c>
      <c r="F90">
        <v>10.4</v>
      </c>
    </row>
    <row r="91" spans="1:6" x14ac:dyDescent="0.3">
      <c r="A91" t="s">
        <v>14</v>
      </c>
      <c r="B91" t="s">
        <v>15</v>
      </c>
      <c r="C91" s="1">
        <v>46054</v>
      </c>
      <c r="D91">
        <v>-3.5</v>
      </c>
      <c r="E91">
        <v>-4.0999999999999996</v>
      </c>
      <c r="F91">
        <v>0.6</v>
      </c>
    </row>
    <row r="92" spans="1:6" x14ac:dyDescent="0.3">
      <c r="A92" t="s">
        <v>14</v>
      </c>
      <c r="B92" t="s">
        <v>15</v>
      </c>
      <c r="C92" s="1">
        <v>46082</v>
      </c>
      <c r="D92">
        <v>-15.4</v>
      </c>
      <c r="E92">
        <v>-3.2</v>
      </c>
      <c r="F92">
        <v>-12.2</v>
      </c>
    </row>
    <row r="93" spans="1:6" x14ac:dyDescent="0.3">
      <c r="A93" t="s">
        <v>14</v>
      </c>
      <c r="B93" t="s">
        <v>15</v>
      </c>
      <c r="C93" s="1">
        <v>46113</v>
      </c>
      <c r="D93">
        <v>-29.4</v>
      </c>
      <c r="E93">
        <v>-4.0999999999999996</v>
      </c>
      <c r="F93">
        <v>-25.3</v>
      </c>
    </row>
    <row r="94" spans="1:6" x14ac:dyDescent="0.3">
      <c r="A94" t="s">
        <v>14</v>
      </c>
      <c r="B94" t="s">
        <v>15</v>
      </c>
      <c r="C94" s="1">
        <v>46143</v>
      </c>
      <c r="D94">
        <v>-22.2</v>
      </c>
      <c r="E94">
        <v>-3.9</v>
      </c>
      <c r="F94">
        <v>-18.3</v>
      </c>
    </row>
    <row r="95" spans="1:6" x14ac:dyDescent="0.3">
      <c r="A95" t="s">
        <v>14</v>
      </c>
      <c r="B95" t="s">
        <v>15</v>
      </c>
      <c r="C95" s="1">
        <v>46174</v>
      </c>
      <c r="D95">
        <v>-19.100000000000001</v>
      </c>
      <c r="E95">
        <v>-4.5</v>
      </c>
      <c r="F95">
        <v>-14.6</v>
      </c>
    </row>
    <row r="96" spans="1:6" x14ac:dyDescent="0.3">
      <c r="A96" t="s">
        <v>14</v>
      </c>
      <c r="B96" t="s">
        <v>15</v>
      </c>
      <c r="C96" s="1">
        <v>46204</v>
      </c>
      <c r="D96">
        <v>-14.9</v>
      </c>
      <c r="E96">
        <v>-4.0999999999999996</v>
      </c>
      <c r="F96">
        <v>-10.8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D33A85-DE36-4538-9486-DF61196C71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 - Monthly Trend</vt:lpstr>
      <vt:lpstr>Issues Log</vt:lpstr>
      <vt:lpstr>Insights Log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 Kuzenkov</dc:creator>
  <cp:lastModifiedBy>Kuzenkov, Filipp</cp:lastModifiedBy>
  <dcterms:created xsi:type="dcterms:W3CDTF">2015-06-05T18:19:34Z</dcterms:created>
  <dcterms:modified xsi:type="dcterms:W3CDTF">2026-09-17T05:04:43Z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2026-09-12T08:25:03Z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2c6cac8d-ab61-47b3-8209-4df2e46aefbc</vt:lpwstr>
  </property>
  <property fmtid="{D5CDD505-2E9C-101B-9397-08002B2CF9AE}" pid="7" name="MSIP_Label_defa4170-0d19-0005-0004-bc88714345d2_ActionId">
    <vt:lpwstr>314138fd-86a1-48e0-b1be-b074a21744c3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